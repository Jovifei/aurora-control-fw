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fbd976ede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0W保护基线" sheetId="1" r:id="Re10dadc8fde9414d"/>
    <x:sheet xmlns:r="http://schemas.openxmlformats.org/officeDocument/2006/relationships" name="电池档案" sheetId="2" r:id="R51a6263b03c64601"/>
    <x:sheet xmlns:r="http://schemas.openxmlformats.org/officeDocument/2006/relationships" name="300W候选参数" sheetId="3" r:id="R5c6a4624514941eb"/>
    <x:sheet xmlns:r="http://schemas.openxmlformats.org/officeDocument/2006/relationships" name="迁移矩阵" sheetId="4" r:id="R8294d86038be443d"/>
    <x:sheet xmlns:r="http://schemas.openxmlformats.org/officeDocument/2006/relationships" name="待确认清单" sheetId="5" r:id="R3a5bfb4420e6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9C000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058c7dd6b4736" /><Relationship Type="http://schemas.openxmlformats.org/officeDocument/2006/relationships/theme" Target="/xl/theme/theme1.xml" Id="Rc52e83a3d23a4e7c" /><Relationship Type="http://schemas.openxmlformats.org/officeDocument/2006/relationships/sharedStrings" Target="/xl/sharedStrings.xml" Id="R352f5b216835407c" /><Relationship Type="http://schemas.openxmlformats.org/officeDocument/2006/relationships/worksheet" Target="/xl/worksheets/sheet1.xml" Id="Re10dadc8fde9414d" /><Relationship Type="http://schemas.openxmlformats.org/officeDocument/2006/relationships/worksheet" Target="/xl/worksheets/sheet2.xml" Id="R51a6263b03c64601" /><Relationship Type="http://schemas.openxmlformats.org/officeDocument/2006/relationships/worksheet" Target="/xl/worksheets/sheet3.xml" Id="R5c6a4624514941eb" /><Relationship Type="http://schemas.openxmlformats.org/officeDocument/2006/relationships/worksheet" Target="/xl/worksheets/sheet4.xml" Id="R8294d86038be443d" /><Relationship Type="http://schemas.openxmlformats.org/officeDocument/2006/relationships/worksheet" Target="/xl/worksheets/sheet5.xml" Id="R3a5bfb4420e6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12" hidden="0" customWidth="1"/>
    <x:col min="5" max="5" width="20" hidden="0" customWidth="1"/>
    <x:col min="6" max="6" width="12" hidden="0" customWidth="1"/>
    <x:col min="7" max="7" width="28" hidden="0" customWidth="1"/>
    <x:col min="8" max="8" width="14" hidden="0" customWidth="1"/>
    <x:col min="9" max="9" width="42" hidden="0" customWidth="1"/>
  </x:cols>
  <x:sheetData>
    <x:row r="1">
      <x:c r="A1" s="5" t="str">
        <x:v>120W V2.7 保护/启动行为基线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类别</x:v>
      </x:c>
      <x:c r="B2" s="13" t="str">
        <x:v>功能</x:v>
      </x:c>
      <x:c r="C2" s="13" t="str">
        <x:v>120W阈值/目标</x:v>
      </x:c>
      <x:c r="D2" s="13" t="str">
        <x:v>触发时间</x:v>
      </x:c>
      <x:c r="E2" s="13" t="str">
        <x:v>120W恢复</x:v>
      </x:c>
      <x:c r="F2" s="13" t="str">
        <x:v>恢复时间</x:v>
      </x:c>
      <x:c r="G2" s="13" t="str">
        <x:v>300W v0.8.0适配</x:v>
      </x:c>
      <x:c r="H2" s="13" t="str">
        <x:v>状态</x:v>
      </x:c>
      <x:c r="I2" s="13" t="str">
        <x:v>备注</x:v>
      </x:c>
    </x:row>
    <x:row r="3">
      <x:c r="A3" s="18" t="str">
        <x:v>PV电压</x:v>
      </x:c>
      <x:c r="B3" s="18" t="str">
        <x:v>欠压</x:v>
      </x:c>
      <x:c r="C3" s="18" t="str">
        <x:v>8 V</x:v>
      </x:c>
      <x:c r="D3" s="18" t="str">
        <x:v>1 s</x:v>
      </x:c>
      <x:c r="E3" s="18" t="str">
        <x:v>9 V</x:v>
      </x:c>
      <x:c r="F3" s="18" t="str">
        <x:v>1 s</x:v>
      </x:c>
      <x:c r="G3" s="18" t="str">
        <x:v>原值继承</x:v>
      </x:c>
      <x:c r="H3" s="18" t="str">
        <x:v>继承</x:v>
      </x:c>
      <x:c r="I3" s="18" t="str">
        <x:v>启动13/15V门槛与欠压保护分开</x:v>
      </x:c>
    </x:row>
    <x:row r="4">
      <x:c r="A4" s="18" t="str">
        <x:v>PV电压</x:v>
      </x:c>
      <x:c r="B4" s="18" t="str">
        <x:v>过压</x:v>
      </x:c>
      <x:c r="C4" s="18" t="str">
        <x:v>55 V</x:v>
      </x:c>
      <x:c r="D4" s="18" t="str">
        <x:v>1 s</x:v>
      </x:c>
      <x:c r="E4" s="18" t="str">
        <x:v>54 V</x:v>
      </x:c>
      <x:c r="F4" s="18" t="str">
        <x:v>1 s</x:v>
      </x:c>
      <x:c r="G4" s="18" t="str">
        <x:v>原值继承</x:v>
      </x:c>
      <x:c r="H4" s="18" t="str">
        <x:v>继承</x:v>
      </x:c>
      <x:c r="I4" s="18" t="str">
        <x:v>&gt;55V交给PV_OV，不用于30min关机</x:v>
      </x:c>
    </x:row>
    <x:row r="5">
      <x:c r="A5" s="18" t="str">
        <x:v>电池</x:v>
      </x:c>
      <x:c r="B5" s="18" t="str">
        <x:v>欠压 48/60/72V</x:v>
      </x:c>
      <x:c r="C5" s="18" t="str">
        <x:v>41.5 / 52.0 / 62.5 V</x:v>
      </x:c>
      <x:c r="D5" s="18" t="str">
        <x:v>1 s</x:v>
      </x:c>
      <x:c r="E5" s="18" t="str">
        <x:v>42.0 / 52.5 / 63.0 V</x:v>
      </x:c>
      <x:c r="F5" s="18" t="str">
        <x:v>1 s</x:v>
      </x:c>
      <x:c r="G5" s="18" t="str">
        <x:v>按平台/化学档案</x:v>
      </x:c>
      <x:c r="H5" s="18" t="str">
        <x:v>继承</x:v>
      </x:c>
      <x:c r="I5" s="18" t="str">
        <x:v>软件保护</x:v>
      </x:c>
    </x:row>
    <x:row r="6">
      <x:c r="A6" s="18" t="str">
        <x:v>电池</x:v>
      </x:c>
      <x:c r="B6" s="18" t="str">
        <x:v>一级OV</x:v>
      </x:c>
      <x:c r="C6" s="18" t="str">
        <x:v>各档案软件OV</x:v>
      </x:c>
      <x:c r="D6" s="18" t="str">
        <x:v>5 s</x:v>
      </x:c>
      <x:c r="E6" s="18" t="str">
        <x:v>回到CV上限以下</x:v>
      </x:c>
      <x:c r="F6" s="18" t="str">
        <x:v>2.5 s</x:v>
      </x:c>
      <x:c r="G6" s="18" t="str">
        <x:v>各化学体系档案化</x:v>
      </x:c>
      <x:c r="H6" s="18" t="str">
        <x:v>适配</x:v>
      </x:c>
      <x:c r="I6" s="18" t="str">
        <x:v>恢复按当前CV上限以下保守实现</x:v>
      </x:c>
    </x:row>
    <x:row r="7">
      <x:c r="A7" s="18" t="str">
        <x:v>电池</x:v>
      </x:c>
      <x:c r="B7" s="18" t="str">
        <x:v>OV加严</x:v>
      </x:c>
      <x:c r="C7" s="18" t="str">
        <x:v>一级OV + 0.7 V</x:v>
      </x:c>
      <x:c r="D7" s="18" t="str">
        <x:v>1 s</x:v>
      </x:c>
      <x:c r="E7" s="18" t="str">
        <x:v>回到CV上限以下</x:v>
      </x:c>
      <x:c r="F7" s="18" t="str">
        <x:v>2.5 s</x:v>
      </x:c>
      <x:c r="G7" s="18" t="str">
        <x:v>各档案自动计算/录入</x:v>
      </x:c>
      <x:c r="H7" s="18" t="str">
        <x:v>适配</x:v>
      </x:c>
      <x:c r="I7" s="18" t="str">
        <x:v>源表数值结构继承</x:v>
      </x:c>
    </x:row>
    <x:row r="8">
      <x:c r="A8" s="18" t="str">
        <x:v>电池</x:v>
      </x:c>
      <x:c r="B8" s="18" t="str">
        <x:v>快速OV</x:v>
      </x:c>
      <x:c r="C8" s="18" t="str">
        <x:v>61.8 / 76.4 / 91.0 V</x:v>
      </x:c>
      <x:c r="D8" s="18" t="str">
        <x:v>3 ms</x:v>
      </x:c>
      <x:c r="E8" s="18" t="str">
        <x:v>源表恢复栏存在歧义</x:v>
      </x:c>
      <x:c r="F8" s="18" t="str">
        <x:v>—</x:v>
      </x:c>
      <x:c r="G8" s="18" t="str">
        <x:v>软件ADC多级保护</x:v>
      </x:c>
      <x:c r="H8" s="18" t="str">
        <x:v>硬件差异</x:v>
      </x:c>
      <x:c r="I8" s="18" t="str">
        <x:v>新板无旧BAT_U硬件CMP</x:v>
      </x:c>
    </x:row>
    <x:row r="9">
      <x:c r="A9" s="18" t="str">
        <x:v>电池</x:v>
      </x:c>
      <x:c r="B9" s="18" t="str">
        <x:v>绝对OV</x:v>
      </x:c>
      <x:c r="C9" s="18" t="str">
        <x:v>93 V</x:v>
      </x:c>
      <x:c r="D9" s="18" t="str">
        <x:v>1 s</x:v>
      </x:c>
      <x:c r="E9" s="18" t="str">
        <x:v>源表恢复栏存在歧义</x:v>
      </x:c>
      <x:c r="F9" s="18" t="str">
        <x:v>—</x:v>
      </x:c>
      <x:c r="G9" s="18" t="str">
        <x:v>93V软件绝对层</x:v>
      </x:c>
      <x:c r="H9" s="18" t="str">
        <x:v>适配</x:v>
      </x:c>
      <x:c r="I9" s="18" t="str">
        <x:v>不能宣称等价旧硬件CMP</x:v>
      </x:c>
    </x:row>
    <x:row r="10">
      <x:c r="A10" s="18" t="str">
        <x:v>PV电流</x:v>
      </x:c>
      <x:c r="B10" s="18" t="str">
        <x:v>正常限流</x:v>
      </x:c>
      <x:c r="C10" s="18" t="str">
        <x:v>8.0 A</x:v>
      </x:c>
      <x:c r="D10" s="18" t="str">
        <x:v>连续</x:v>
      </x:c>
      <x:c r="E10" s="18" t="str">
        <x:v>—</x:v>
      </x:c>
      <x:c r="F10" s="18" t="str">
        <x:v>—</x:v>
      </x:c>
      <x:c r="G10" s="18" t="str">
        <x:v>300W候选12A</x:v>
      </x:c>
      <x:c r="H10" s="18" t="str">
        <x:v>待台架</x:v>
      </x:c>
      <x:c r="I10" s="18" t="str">
        <x:v>不能按功率比例机械放大</x:v>
      </x:c>
    </x:row>
    <x:row r="11">
      <x:c r="A11" s="18" t="str">
        <x:v>PV电流</x:v>
      </x:c>
      <x:c r="B11" s="18" t="str">
        <x:v>OCP Slow</x:v>
      </x:c>
      <x:c r="C11" s="18" t="str">
        <x:v>1.20 × 基础限流</x:v>
      </x:c>
      <x:c r="D11" s="18" t="str">
        <x:v>10 s</x:v>
      </x:c>
      <x:c r="E11" s="18" t="str">
        <x:v>≤基础限流</x:v>
      </x:c>
      <x:c r="F11" s="18" t="str">
        <x:v>30 s</x:v>
      </x:c>
      <x:c r="G11" s="18" t="str">
        <x:v>比例结构继承</x:v>
      </x:c>
      <x:c r="H11" s="18" t="str">
        <x:v>适配</x:v>
      </x:c>
      <x:c r="I11" s="18" t="str">
        <x:v>300W基础限流待台架</x:v>
      </x:c>
    </x:row>
    <x:row r="12">
      <x:c r="A12" s="18" t="str">
        <x:v>PV电流</x:v>
      </x:c>
      <x:c r="B12" s="18" t="str">
        <x:v>OCP Medium</x:v>
      </x:c>
      <x:c r="C12" s="18" t="str">
        <x:v>1.35 × 基础限流</x:v>
      </x:c>
      <x:c r="D12" s="18" t="str">
        <x:v>1 s</x:v>
      </x:c>
      <x:c r="E12" s="18" t="str">
        <x:v>≤基础限流</x:v>
      </x:c>
      <x:c r="F12" s="18" t="str">
        <x:v>30 s</x:v>
      </x:c>
      <x:c r="G12" s="18" t="str">
        <x:v>比例结构继承</x:v>
      </x:c>
      <x:c r="H12" s="18" t="str">
        <x:v>适配</x:v>
      </x:c>
      <x:c r="I12" s="18" t="str"/>
    </x:row>
    <x:row r="13">
      <x:c r="A13" s="18" t="str">
        <x:v>PV电流</x:v>
      </x:c>
      <x:c r="B13" s="18" t="str">
        <x:v>OCP Fast</x:v>
      </x:c>
      <x:c r="C13" s="18" t="str">
        <x:v>1.50 × 基础限流</x:v>
      </x:c>
      <x:c r="D13" s="18" t="str">
        <x:v>100 ms</x:v>
      </x:c>
      <x:c r="E13" s="18" t="str">
        <x:v>≤基础限流</x:v>
      </x:c>
      <x:c r="F13" s="18" t="str">
        <x:v>30 s</x:v>
      </x:c>
      <x:c r="G13" s="18" t="str">
        <x:v>比例结构继承</x:v>
      </x:c>
      <x:c r="H13" s="18" t="str">
        <x:v>适配</x:v>
      </x:c>
      <x:c r="I13" s="18" t="str"/>
    </x:row>
    <x:row r="14">
      <x:c r="A14" s="18" t="str">
        <x:v>PV功率</x:v>
      </x:c>
      <x:c r="B14" s="18" t="str">
        <x:v>正常限制</x:v>
      </x:c>
      <x:c r="C14" s="18" t="str">
        <x:v>120 W</x:v>
      </x:c>
      <x:c r="D14" s="18" t="str">
        <x:v>连续</x:v>
      </x:c>
      <x:c r="E14" s="18" t="str">
        <x:v>—</x:v>
      </x:c>
      <x:c r="F14" s="18" t="str">
        <x:v>—</x:v>
      </x:c>
      <x:c r="G14" s="18" t="str">
        <x:v>300 W</x:v>
      </x:c>
      <x:c r="H14" s="18" t="str">
        <x:v>继承结构</x:v>
      </x:c>
      <x:c r="I14" s="18" t="str">
        <x:v>默认高功率BOM</x:v>
      </x:c>
    </x:row>
    <x:row r="15">
      <x:c r="A15" s="18" t="str">
        <x:v>PV功率</x:v>
      </x:c>
      <x:c r="B15" s="18" t="str">
        <x:v>过功率</x:v>
      </x:c>
      <x:c r="C15" s="18" t="str">
        <x:v>144 W = 1.2×</x:v>
      </x:c>
      <x:c r="D15" s="18" t="str">
        <x:v>5 s</x:v>
      </x:c>
      <x:c r="E15" s="18" t="str">
        <x:v>≤额定功率</x:v>
      </x:c>
      <x:c r="F15" s="18" t="str">
        <x:v>30 s</x:v>
      </x:c>
      <x:c r="G15" s="18" t="str">
        <x:v>360 W = 1.2×候选</x:v>
      </x:c>
      <x:c r="H15" s="18" t="str">
        <x:v>待台架</x:v>
      </x:c>
      <x:c r="I15" s="18" t="str">
        <x:v>比例策略待台架确认</x:v>
      </x:c>
    </x:row>
    <x:row r="16">
      <x:c r="A16" s="18" t="str">
        <x:v>温度</x:v>
      </x:c>
      <x:c r="B16" s="18" t="str">
        <x:v>MOS降额起点</x:v>
      </x:c>
      <x:c r="C16" s="18" t="str">
        <x:v>源表90°C</x:v>
      </x:c>
      <x:c r="D16" s="18" t="str">
        <x:v>—</x:v>
      </x:c>
      <x:c r="E16" s="18" t="str">
        <x:v>—</x:v>
      </x:c>
      <x:c r="F16" s="18" t="str">
        <x:v>—</x:v>
      </x:c>
      <x:c r="G16" s="18" t="str">
        <x:v>95°C</x:v>
      </x:c>
      <x:c r="H16" s="18" t="str">
        <x:v>用户确认</x:v>
      </x:c>
      <x:c r="I16" s="18" t="str">
        <x:v>本项目明确改为95°C</x:v>
      </x:c>
    </x:row>
    <x:row r="17">
      <x:c r="A17" s="18" t="str">
        <x:v>温度</x:v>
      </x:c>
      <x:c r="B17" s="18" t="str">
        <x:v>MOS过温</x:v>
      </x:c>
      <x:c r="C17" s="18" t="str">
        <x:v>105°C</x:v>
      </x:c>
      <x:c r="D17" s="18" t="str">
        <x:v>1 s</x:v>
      </x:c>
      <x:c r="E17" s="18" t="str">
        <x:v>95°C</x:v>
      </x:c>
      <x:c r="F17" s="18" t="str">
        <x:v>1 s</x:v>
      </x:c>
      <x:c r="G17" s="18" t="str">
        <x:v>原值继承</x:v>
      </x:c>
      <x:c r="H17" s="18" t="str">
        <x:v>继承</x:v>
      </x:c>
      <x:c r="I17" s="18" t="str"/>
    </x:row>
    <x:row r="18">
      <x:c r="A18" s="18" t="str">
        <x:v>环境</x:v>
      </x:c>
      <x:c r="B18" s="18" t="str">
        <x:v>高温</x:v>
      </x:c>
      <x:c r="C18" s="18" t="str">
        <x:v>55°C</x:v>
      </x:c>
      <x:c r="D18" s="18" t="str">
        <x:v>1 s</x:v>
      </x:c>
      <x:c r="E18" s="18" t="str">
        <x:v>50°C</x:v>
      </x:c>
      <x:c r="F18" s="18" t="str">
        <x:v>1 s</x:v>
      </x:c>
      <x:c r="G18" s="18" t="str">
        <x:v>原值继承</x:v>
      </x:c>
      <x:c r="H18" s="18" t="str">
        <x:v>继承</x:v>
      </x:c>
      <x:c r="I18" s="18" t="str"/>
    </x:row>
    <x:row r="19">
      <x:c r="A19" s="18" t="str">
        <x:v>环境</x:v>
      </x:c>
      <x:c r="B19" s="18" t="str">
        <x:v>低温</x:v>
      </x:c>
      <x:c r="C19" s="18" t="str">
        <x:v>-20°C</x:v>
      </x:c>
      <x:c r="D19" s="18" t="str">
        <x:v>1 s</x:v>
      </x:c>
      <x:c r="E19" s="18" t="str">
        <x:v>-15°C</x:v>
      </x:c>
      <x:c r="F19" s="18" t="str">
        <x:v>1 s</x:v>
      </x:c>
      <x:c r="G19" s="18" t="str">
        <x:v>原值继承</x:v>
      </x:c>
      <x:c r="H19" s="18" t="str">
        <x:v>继承</x:v>
      </x:c>
      <x:c r="I19" s="18" t="str"/>
    </x:row>
    <x:row r="20">
      <x:c r="A20" s="18" t="str">
        <x:v>NTC</x:v>
      </x:c>
      <x:c r="B20" s="18" t="str">
        <x:v>开路判据</x:v>
      </x:c>
      <x:c r="C20" s="18" t="str">
        <x:v>&gt;=125°C</x:v>
      </x:c>
      <x:c r="D20" s="18" t="str">
        <x:v>1 s</x:v>
      </x:c>
      <x:c r="E20" s="18" t="str">
        <x:v>恢复正常范围</x:v>
      </x:c>
      <x:c r="F20" s="18" t="str">
        <x:v>1 s</x:v>
      </x:c>
      <x:c r="G20" s="18" t="str">
        <x:v>独立故障位</x:v>
      </x:c>
      <x:c r="H20" s="18" t="str">
        <x:v>继承/适配</x:v>
      </x:c>
      <x:c r="I20" s="18" t="str">
        <x:v>100K/B3950</x:v>
      </x:c>
    </x:row>
    <x:row r="21">
      <x:c r="A21" s="18" t="str">
        <x:v>NTC</x:v>
      </x:c>
      <x:c r="B21" s="18" t="str">
        <x:v>短路判据</x:v>
      </x:c>
      <x:c r="C21" s="18" t="str">
        <x:v>&lt;=-40°C</x:v>
      </x:c>
      <x:c r="D21" s="18" t="str">
        <x:v>1 s</x:v>
      </x:c>
      <x:c r="E21" s="18" t="str">
        <x:v>恢复正常范围</x:v>
      </x:c>
      <x:c r="F21" s="18" t="str">
        <x:v>1 s</x:v>
      </x:c>
      <x:c r="G21" s="18" t="str">
        <x:v>独立故障位</x:v>
      </x:c>
      <x:c r="H21" s="18" t="str">
        <x:v>继承/适配</x:v>
      </x:c>
      <x:c r="I21" s="18" t="str">
        <x:v>100K/B3950</x:v>
      </x:c>
    </x:row>
    <x:row r="22">
      <x:c r="A22" s="18" t="str">
        <x:v>启动</x:v>
      </x:c>
      <x:c r="B22" s="18" t="str">
        <x:v>&gt;15V启动</x:v>
      </x:c>
      <x:c r="C22" s="18" t="str">
        <x:v>动态1~10 s</x:v>
      </x:c>
      <x:c r="D22" s="18" t="str">
        <x:v>—</x:v>
      </x:c>
      <x:c r="E22" s="18" t="str">
        <x:v>成功后逐步减回1s</x:v>
      </x:c>
      <x:c r="F22" s="18" t="str">
        <x:v>—</x:v>
      </x:c>
      <x:c r="G22" s="18" t="str">
        <x:v>状态机继承</x:v>
      </x:c>
      <x:c r="H22" s="18" t="str">
        <x:v>继承</x:v>
      </x:c>
      <x:c r="I22" s="18" t="str">
        <x:v>失败每次+1s，最大10s</x:v>
      </x:c>
    </x:row>
    <x:row r="23">
      <x:c r="A23" s="18" t="str">
        <x:v>启动</x:v>
      </x:c>
      <x:c r="B23" s="18" t="str">
        <x:v>13~15V启动</x:v>
      </x:c>
      <x:c r="C23" s="18" t="str">
        <x:v>固定15 s</x:v>
      </x:c>
      <x:c r="D23" s="18" t="str">
        <x:v>—</x:v>
      </x:c>
      <x:c r="E23" s="18" t="str">
        <x:v>—</x:v>
      </x:c>
      <x:c r="F23" s="18" t="str">
        <x:v>—</x:v>
      </x:c>
      <x:c r="G23" s="18" t="str">
        <x:v>状态机继承</x:v>
      </x:c>
      <x:c r="H23" s="18" t="str">
        <x:v>继承</x:v>
      </x:c>
      <x:c r="I23" s="18" t="str"/>
    </x:row>
    <x:row r="24">
      <x:c r="A24" s="18" t="str">
        <x:v>启动</x:v>
      </x:c>
      <x:c r="B24" s="18" t="str">
        <x:v>&lt;13V</x:v>
      </x:c>
      <x:c r="C24" s="18" t="str">
        <x:v>禁止启动</x:v>
      </x:c>
      <x:c r="D24" s="18" t="str">
        <x:v>—</x:v>
      </x:c>
      <x:c r="E24" s="18" t="str">
        <x:v>PV恢复</x:v>
      </x:c>
      <x:c r="F24" s="18" t="str">
        <x:v>—</x:v>
      </x:c>
      <x:c r="G24" s="18" t="str">
        <x:v>状态机继承</x:v>
      </x:c>
      <x:c r="H24" s="18" t="str">
        <x:v>继承</x:v>
      </x:c>
      <x:c r="I24" s="18" t="str"/>
    </x:row>
    <x:row r="25">
      <x:c r="A25" s="18" t="str">
        <x:v>启动</x:v>
      </x:c>
      <x:c r="B25" s="18" t="str">
        <x:v>PV_I零点</x:v>
      </x:c>
      <x:c r="C25" s="18" t="str">
        <x:v>PV&gt;13V稳定2s后校准</x:v>
      </x:c>
      <x:c r="D25" s="18" t="str">
        <x:v>—</x:v>
      </x:c>
      <x:c r="E25" s="18" t="str">
        <x:v>重新启动重新校准</x:v>
      </x:c>
      <x:c r="F25" s="18" t="str">
        <x:v>—</x:v>
      </x:c>
      <x:c r="G25" s="18" t="str">
        <x:v>32个DMA完整块</x:v>
      </x:c>
      <x:c r="H25" s="18" t="str">
        <x:v>新硬件适配</x:v>
      </x:c>
      <x:c r="I25" s="18" t="str">
        <x:v>无BAT_I硬件</x:v>
      </x:c>
    </x:row>
    <x:row r="26">
      <x:c r="A26" s="18" t="str">
        <x:v>继电器</x:v>
      </x:c>
      <x:c r="B26" s="18" t="str">
        <x:v>预充闭合顺序</x:v>
      </x:c>
      <x:c r="C26" s="18" t="str">
        <x:v>先建立母线再闭合</x:v>
      </x:c>
      <x:c r="D26" s="18" t="str">
        <x:v>—</x:v>
      </x:c>
      <x:c r="E26" s="18" t="str">
        <x:v>—</x:v>
      </x:c>
      <x:c r="F26" s="18" t="str">
        <x:v>—</x:v>
      </x:c>
      <x:c r="G26" s="18" t="str">
        <x:v>BST_U接近BAT_U后才吸合</x:v>
      </x:c>
      <x:c r="H26" s="18" t="str">
        <x:v>硬约束</x:v>
      </x:c>
      <x:c r="I26" s="18" t="str">
        <x:v>v0.8.0关键安全要求</x:v>
      </x:c>
    </x:row>
    <x:row r="27">
      <x:c r="A27" s="18" t="str">
        <x:v>电池稳定</x:v>
      </x:c>
      <x:c r="B27" s="18" t="str">
        <x:v>闭合后观察</x:v>
      </x:c>
      <x:c r="C27" s="18" t="str">
        <x:v>10s内波动&lt;=2V</x:v>
      </x:c>
      <x:c r="D27" s="18" t="str">
        <x:v>10 s</x:v>
      </x:c>
      <x:c r="E27" s="18" t="str">
        <x:v>—</x:v>
      </x:c>
      <x:c r="F27" s="18" t="str">
        <x:v>—</x:v>
      </x:c>
      <x:c r="G27" s="18" t="str">
        <x:v>PWM保持OFF观察</x:v>
      </x:c>
      <x:c r="H27" s="18" t="str">
        <x:v>继承</x:v>
      </x:c>
      <x:c r="I27" s="18" t="str">
        <x:v>通过后才RUN</x:v>
      </x:c>
    </x:row>
    <x:row r="28">
      <x:c r="A28" s="18" t="str">
        <x:v>关机</x:v>
      </x:c>
      <x:c r="B28" s="18" t="str">
        <x:v>真正无发电</x:v>
      </x:c>
      <x:c r="C28" s="18" t="str">
        <x:v>PV&lt;13V且MPPT未运行</x:v>
      </x:c>
      <x:c r="D28" s="18" t="str">
        <x:v>30 min</x:v>
      </x:c>
      <x:c r="E28" s="18" t="str">
        <x:v>PV恢复</x:v>
      </x:c>
      <x:c r="F28" s="18" t="str">
        <x:v>—</x:v>
      </x:c>
      <x:c r="G28" s="18" t="str">
        <x:v>断Relay/Link</x:v>
      </x:c>
      <x:c r="H28" s="18" t="str">
        <x:v>继承</x:v>
      </x:c>
      <x:c r="I28" s="18" t="str">
        <x:v>电池充满不等于无太阳</x:v>
      </x:c>
    </x:row>
    <x:row r="29">
      <x:c r="A29" s="22" t="str">
        <x:v>来源：青稞120W MPPT保护功能CheckList_V2.7_20260824.xlsx；300W适配项按v0.8.0工程方案区分“继承/候选/硬件差异/待台架”。</x:v>
      </x:c>
      <x:c r="B29" s="22"/>
      <x:c r="C29" s="22"/>
      <x:c r="D29" s="22"/>
      <x:c r="E29" s="22"/>
      <x:c r="F29" s="22"/>
      <x:c r="G29" s="22"/>
      <x:c r="H29" s="22"/>
      <x:c r="I29" s="22"/>
    </x:row>
  </x:sheetData>
  <x:mergeCells>
    <x:mergeCell ref="A1:I1"/>
    <x:mergeCell ref="A29:I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9" hidden="0" customWidth="1"/>
    <x:col min="4" max="4" width="11" hidden="0" customWidth="1"/>
    <x:col min="5" max="5" width="10" hidden="0" customWidth="1"/>
    <x:col min="6" max="6" width="8" hidden="0" customWidth="1"/>
    <x:col min="7" max="7" width="8" hidden="0" customWidth="1"/>
    <x:col min="8" max="8" width="11" hidden="0" customWidth="1"/>
    <x:col min="9" max="9" width="11" hidden="0" customWidth="1"/>
    <x:col min="10" max="10" width="11" hidden="0" customWidth="1"/>
    <x:col min="11" max="11" width="9" hidden="0" customWidth="1"/>
    <x:col min="12" max="12" width="12" hidden="0" customWidth="1"/>
    <x:col min="13" max="13" width="12" hidden="0" customWidth="1"/>
    <x:col min="14" max="14" width="12" hidden="0" customWidth="1"/>
    <x:col min="15" max="15" width="13" hidden="0" customWidth="1"/>
    <x:col min="16" max="16" width="9" hidden="0" customWidth="1"/>
    <x:col min="17" max="17" width="9" hidden="0" customWidth="1"/>
    <x:col min="18" max="18" width="10" hidden="0" customWidth="1"/>
    <x:col min="19" max="19" width="24" hidden="0" customWidth="1"/>
  </x:cols>
  <x:sheetData>
    <x:row r="1">
      <x:c r="A1" s="5" t="str">
        <x:v>12组电池与充电参数（120W V2.7 → 300W继承）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13" t="str">
        <x:v>化学体系</x:v>
      </x:c>
      <x:c r="B2" s="13" t="str">
        <x:v>平台</x:v>
      </x:c>
      <x:c r="C2" s="13" t="str">
        <x:v>UV(V)</x:v>
      </x:c>
      <x:c r="D2" s="13" t="str">
        <x:v>UV恢复(V)</x:v>
      </x:c>
      <x:c r="E2" s="13" t="str">
        <x:v>TC退出(V)</x:v>
      </x:c>
      <x:c r="F2" s="13" t="str">
        <x:v>TC(A)</x:v>
      </x:c>
      <x:c r="G2" s="13" t="str">
        <x:v>CC(A)</x:v>
      </x:c>
      <x:c r="H2" s="13" t="str">
        <x:v>CV目标(V)</x:v>
      </x:c>
      <x:c r="I2" s="13" t="str">
        <x:v>CV最小(V)</x:v>
      </x:c>
      <x:c r="J2" s="13" t="str">
        <x:v>CV最大(V)</x:v>
      </x:c>
      <x:c r="K2" s="13" t="str">
        <x:v>尾流(A)</x:v>
      </x:c>
      <x:c r="L2" s="13" t="str">
        <x:v>Float目标(V)</x:v>
      </x:c>
      <x:c r="M2" s="13" t="str">
        <x:v>Float最小(V)</x:v>
      </x:c>
      <x:c r="N2" s="13" t="str">
        <x:v>Float最大(V)</x:v>
      </x:c>
      <x:c r="O2" s="13" t="str">
        <x:v>Float结束(A)</x:v>
      </x:c>
      <x:c r="P2" s="13" t="str">
        <x:v>满充(V)</x:v>
      </x:c>
      <x:c r="Q2" s="13" t="str">
        <x:v>回充(V)</x:v>
      </x:c>
      <x:c r="R2" s="13" t="str">
        <x:v>软件OV(V)</x:v>
      </x:c>
      <x:c r="S2" s="13" t="str">
        <x:v>300W处理</x:v>
      </x:c>
    </x:row>
    <x:row r="3">
      <x:c r="A3" s="18" t="str">
        <x:v>铅酸</x:v>
      </x:c>
      <x:c r="B3" s="18" t="str">
        <x:v>48V</x:v>
      </x:c>
      <x:c r="C3" s="28" t="n">
        <x:v>41.5</x:v>
      </x:c>
      <x:c r="D3" s="28" t="n">
        <x:v>42</x:v>
      </x:c>
      <x:c r="E3" s="28" t="n">
        <x:v>48</x:v>
      </x:c>
      <x:c r="F3" s="28" t="n">
        <x:v>1</x:v>
      </x:c>
      <x:c r="G3" s="28" t="n">
        <x:v>3</x:v>
      </x:c>
      <x:c r="H3" s="28" t="n">
        <x:v>58</x:v>
      </x:c>
      <x:c r="I3" s="28" t="n">
        <x:v>57.8</x:v>
      </x:c>
      <x:c r="J3" s="28" t="n">
        <x:v>58.2</x:v>
      </x:c>
      <x:c r="K3" s="28" t="n">
        <x:v>0.3</x:v>
      </x:c>
      <x:c r="L3" s="28" t="n">
        <x:v>54.6</x:v>
      </x:c>
      <x:c r="M3" s="28" t="n">
        <x:v>54.4</x:v>
      </x:c>
      <x:c r="N3" s="28" t="n">
        <x:v>54.8</x:v>
      </x:c>
      <x:c r="O3" s="28" t="n">
        <x:v>0.08</x:v>
      </x:c>
      <x:c r="P3" s="28" t="n">
        <x:v>58.2</x:v>
      </x:c>
      <x:c r="Q3" s="28" t="n">
        <x:v>51.2</x:v>
      </x:c>
      <x:c r="R3" s="28" t="n">
        <x:v>58.8</x:v>
      </x:c>
      <x:c r="S3" s="18" t="str">
        <x:v>原值继承</x:v>
      </x:c>
    </x:row>
    <x:row r="4">
      <x:c r="A4" s="18" t="str">
        <x:v>铅酸</x:v>
      </x:c>
      <x:c r="B4" s="18" t="str">
        <x:v>60V</x:v>
      </x:c>
      <x:c r="C4" s="28" t="n">
        <x:v>52</x:v>
      </x:c>
      <x:c r="D4" s="28" t="n">
        <x:v>52.5</x:v>
      </x:c>
      <x:c r="E4" s="28" t="n">
        <x:v>60</x:v>
      </x:c>
      <x:c r="F4" s="28" t="n">
        <x:v>1</x:v>
      </x:c>
      <x:c r="G4" s="28" t="n">
        <x:v>3</x:v>
      </x:c>
      <x:c r="H4" s="28" t="n">
        <x:v>72.5</x:v>
      </x:c>
      <x:c r="I4" s="28" t="n">
        <x:v>72.3</x:v>
      </x:c>
      <x:c r="J4" s="28" t="n">
        <x:v>72.7</x:v>
      </x:c>
      <x:c r="K4" s="28" t="n">
        <x:v>0.3</x:v>
      </x:c>
      <x:c r="L4" s="28" t="n">
        <x:v>68.3</x:v>
      </x:c>
      <x:c r="M4" s="28" t="n">
        <x:v>68.1</x:v>
      </x:c>
      <x:c r="N4" s="28" t="n">
        <x:v>68.5</x:v>
      </x:c>
      <x:c r="O4" s="28" t="n">
        <x:v>0.08</x:v>
      </x:c>
      <x:c r="P4" s="28" t="n">
        <x:v>72.7</x:v>
      </x:c>
      <x:c r="Q4" s="28" t="n">
        <x:v>64</x:v>
      </x:c>
      <x:c r="R4" s="28" t="n">
        <x:v>73.4</x:v>
      </x:c>
      <x:c r="S4" s="18" t="str">
        <x:v>原值继承</x:v>
      </x:c>
    </x:row>
    <x:row r="5">
      <x:c r="A5" s="18" t="str">
        <x:v>铅酸</x:v>
      </x:c>
      <x:c r="B5" s="18" t="str">
        <x:v>72V</x:v>
      </x:c>
      <x:c r="C5" s="28" t="n">
        <x:v>62.5</x:v>
      </x:c>
      <x:c r="D5" s="28" t="n">
        <x:v>63</x:v>
      </x:c>
      <x:c r="E5" s="28" t="n">
        <x:v>72</x:v>
      </x:c>
      <x:c r="F5" s="28" t="n">
        <x:v>1</x:v>
      </x:c>
      <x:c r="G5" s="28" t="n">
        <x:v>3</x:v>
      </x:c>
      <x:c r="H5" s="28" t="n">
        <x:v>87</x:v>
      </x:c>
      <x:c r="I5" s="28" t="n">
        <x:v>86.8</x:v>
      </x:c>
      <x:c r="J5" s="28" t="n">
        <x:v>87.2</x:v>
      </x:c>
      <x:c r="K5" s="28" t="n">
        <x:v>0.3</x:v>
      </x:c>
      <x:c r="L5" s="28" t="n">
        <x:v>82</x:v>
      </x:c>
      <x:c r="M5" s="28" t="n">
        <x:v>81.8</x:v>
      </x:c>
      <x:c r="N5" s="28" t="n">
        <x:v>82.2</x:v>
      </x:c>
      <x:c r="O5" s="28" t="n">
        <x:v>0.08</x:v>
      </x:c>
      <x:c r="P5" s="28" t="n">
        <x:v>87.2</x:v>
      </x:c>
      <x:c r="Q5" s="28" t="n">
        <x:v>76.8</x:v>
      </x:c>
      <x:c r="R5" s="28" t="n">
        <x:v>88</x:v>
      </x:c>
      <x:c r="S5" s="18" t="str">
        <x:v>原值继承</x:v>
      </x:c>
    </x:row>
    <x:row r="6">
      <x:c r="A6" s="18" t="str">
        <x:v>三元锂</x:v>
      </x:c>
      <x:c r="B6" s="18" t="str">
        <x:v>48V</x:v>
      </x:c>
      <x:c r="C6" s="28" t="n">
        <x:v>35.1</x:v>
      </x:c>
      <x:c r="D6" s="28" t="n">
        <x:v>35.6</x:v>
      </x:c>
      <x:c r="E6" s="28" t="n">
        <x:v>39</x:v>
      </x:c>
      <x:c r="F6" s="28" t="n">
        <x:v>1</x:v>
      </x:c>
      <x:c r="G6" s="28" t="n">
        <x:v>3</x:v>
      </x:c>
      <x:c r="H6" s="28" t="n">
        <x:v>54.6</x:v>
      </x:c>
      <x:c r="I6" s="28" t="n">
        <x:v>54.4</x:v>
      </x:c>
      <x:c r="J6" s="28" t="n">
        <x:v>54.8</x:v>
      </x:c>
      <x:c r="K6" s="28" t="n">
        <x:v>0.3</x:v>
      </x:c>
      <x:c r="L6" s="28"/>
      <x:c r="M6" s="28"/>
      <x:c r="N6" s="28"/>
      <x:c r="O6" s="28"/>
      <x:c r="P6" s="28" t="n">
        <x:v>54.6</x:v>
      </x:c>
      <x:c r="Q6" s="28" t="n">
        <x:v>52.65</x:v>
      </x:c>
      <x:c r="R6" s="28" t="n">
        <x:v>56.875</x:v>
      </x:c>
      <x:c r="S6" s="18" t="str">
        <x:v>原值继承；无Float</x:v>
      </x:c>
    </x:row>
    <x:row r="7">
      <x:c r="A7" s="18" t="str">
        <x:v>三元锂</x:v>
      </x:c>
      <x:c r="B7" s="18" t="str">
        <x:v>60V</x:v>
      </x:c>
      <x:c r="C7" s="28" t="n">
        <x:v>45.9</x:v>
      </x:c>
      <x:c r="D7" s="28" t="n">
        <x:v>46.4</x:v>
      </x:c>
      <x:c r="E7" s="28" t="n">
        <x:v>51</x:v>
      </x:c>
      <x:c r="F7" s="28" t="n">
        <x:v>1</x:v>
      </x:c>
      <x:c r="G7" s="28" t="n">
        <x:v>3</x:v>
      </x:c>
      <x:c r="H7" s="28" t="n">
        <x:v>71.4</x:v>
      </x:c>
      <x:c r="I7" s="28" t="n">
        <x:v>71.2</x:v>
      </x:c>
      <x:c r="J7" s="28" t="n">
        <x:v>71.6</x:v>
      </x:c>
      <x:c r="K7" s="28" t="n">
        <x:v>0.3</x:v>
      </x:c>
      <x:c r="L7" s="28"/>
      <x:c r="M7" s="28"/>
      <x:c r="N7" s="28"/>
      <x:c r="O7" s="28"/>
      <x:c r="P7" s="28" t="n">
        <x:v>71.4</x:v>
      </x:c>
      <x:c r="Q7" s="28" t="n">
        <x:v>68.85</x:v>
      </x:c>
      <x:c r="R7" s="28" t="n">
        <x:v>74.375</x:v>
      </x:c>
      <x:c r="S7" s="18" t="str">
        <x:v>原值继承；无Float</x:v>
      </x:c>
    </x:row>
    <x:row r="8">
      <x:c r="A8" s="18" t="str">
        <x:v>三元锂</x:v>
      </x:c>
      <x:c r="B8" s="18" t="str">
        <x:v>72V</x:v>
      </x:c>
      <x:c r="C8" s="28" t="n">
        <x:v>54</x:v>
      </x:c>
      <x:c r="D8" s="28" t="n">
        <x:v>54.5</x:v>
      </x:c>
      <x:c r="E8" s="28" t="n">
        <x:v>60</x:v>
      </x:c>
      <x:c r="F8" s="28" t="n">
        <x:v>1</x:v>
      </x:c>
      <x:c r="G8" s="28" t="n">
        <x:v>3</x:v>
      </x:c>
      <x:c r="H8" s="28" t="n">
        <x:v>84</x:v>
      </x:c>
      <x:c r="I8" s="28" t="n">
        <x:v>83.8</x:v>
      </x:c>
      <x:c r="J8" s="28" t="n">
        <x:v>84.2</x:v>
      </x:c>
      <x:c r="K8" s="28" t="n">
        <x:v>0.3</x:v>
      </x:c>
      <x:c r="L8" s="28"/>
      <x:c r="M8" s="28"/>
      <x:c r="N8" s="28"/>
      <x:c r="O8" s="28"/>
      <x:c r="P8" s="28" t="n">
        <x:v>84</x:v>
      </x:c>
      <x:c r="Q8" s="28" t="n">
        <x:v>81</x:v>
      </x:c>
      <x:c r="R8" s="28" t="n">
        <x:v>87.5</x:v>
      </x:c>
      <x:c r="S8" s="18" t="str">
        <x:v>原值继承；无Float</x:v>
      </x:c>
    </x:row>
    <x:row r="9">
      <x:c r="A9" s="18" t="str">
        <x:v>磷酸铁锂</x:v>
      </x:c>
      <x:c r="B9" s="18" t="str">
        <x:v>48V</x:v>
      </x:c>
      <x:c r="C9" s="28" t="n">
        <x:v>40</x:v>
      </x:c>
      <x:c r="D9" s="28" t="n">
        <x:v>40.5</x:v>
      </x:c>
      <x:c r="E9" s="28" t="n">
        <x:v>48</x:v>
      </x:c>
      <x:c r="F9" s="28" t="n">
        <x:v>1</x:v>
      </x:c>
      <x:c r="G9" s="28" t="n">
        <x:v>3</x:v>
      </x:c>
      <x:c r="H9" s="28" t="n">
        <x:v>57.6</x:v>
      </x:c>
      <x:c r="I9" s="28" t="n">
        <x:v>57.4</x:v>
      </x:c>
      <x:c r="J9" s="28" t="n">
        <x:v>57.8</x:v>
      </x:c>
      <x:c r="K9" s="28" t="n">
        <x:v>0.3</x:v>
      </x:c>
      <x:c r="L9" s="28"/>
      <x:c r="M9" s="28"/>
      <x:c r="N9" s="28"/>
      <x:c r="O9" s="28"/>
      <x:c r="P9" s="28" t="n">
        <x:v>57.6</x:v>
      </x:c>
      <x:c r="Q9" s="28" t="n">
        <x:v>53.6</x:v>
      </x:c>
      <x:c r="R9" s="28" t="n">
        <x:v>60</x:v>
      </x:c>
      <x:c r="S9" s="18" t="str">
        <x:v>原值继承；无Float</x:v>
      </x:c>
    </x:row>
    <x:row r="10">
      <x:c r="A10" s="18" t="str">
        <x:v>磷酸铁锂</x:v>
      </x:c>
      <x:c r="B10" s="18" t="str">
        <x:v>60V</x:v>
      </x:c>
      <x:c r="C10" s="28" t="n">
        <x:v>50</x:v>
      </x:c>
      <x:c r="D10" s="28" t="n">
        <x:v>50.5</x:v>
      </x:c>
      <x:c r="E10" s="28" t="n">
        <x:v>60</x:v>
      </x:c>
      <x:c r="F10" s="28" t="n">
        <x:v>1</x:v>
      </x:c>
      <x:c r="G10" s="28" t="n">
        <x:v>3</x:v>
      </x:c>
      <x:c r="H10" s="28" t="n">
        <x:v>72</x:v>
      </x:c>
      <x:c r="I10" s="28" t="n">
        <x:v>71.8</x:v>
      </x:c>
      <x:c r="J10" s="28" t="n">
        <x:v>72.2</x:v>
      </x:c>
      <x:c r="K10" s="28" t="n">
        <x:v>0.3</x:v>
      </x:c>
      <x:c r="L10" s="28"/>
      <x:c r="M10" s="28"/>
      <x:c r="N10" s="28"/>
      <x:c r="O10" s="28"/>
      <x:c r="P10" s="28" t="n">
        <x:v>72</x:v>
      </x:c>
      <x:c r="Q10" s="28" t="n">
        <x:v>67</x:v>
      </x:c>
      <x:c r="R10" s="28" t="n">
        <x:v>75</x:v>
      </x:c>
      <x:c r="S10" s="18" t="str">
        <x:v>原值继承；无Float</x:v>
      </x:c>
    </x:row>
    <x:row r="11">
      <x:c r="A11" s="18" t="str">
        <x:v>磷酸铁锂</x:v>
      </x:c>
      <x:c r="B11" s="18" t="str">
        <x:v>72V</x:v>
      </x:c>
      <x:c r="C11" s="28" t="n">
        <x:v>60</x:v>
      </x:c>
      <x:c r="D11" s="28" t="n">
        <x:v>60.5</x:v>
      </x:c>
      <x:c r="E11" s="28" t="n">
        <x:v>72</x:v>
      </x:c>
      <x:c r="F11" s="28" t="n">
        <x:v>1</x:v>
      </x:c>
      <x:c r="G11" s="28" t="n">
        <x:v>3</x:v>
      </x:c>
      <x:c r="H11" s="28" t="n">
        <x:v>86.4</x:v>
      </x:c>
      <x:c r="I11" s="28" t="n">
        <x:v>86.2</x:v>
      </x:c>
      <x:c r="J11" s="28" t="n">
        <x:v>86.6</x:v>
      </x:c>
      <x:c r="K11" s="28" t="n">
        <x:v>0.3</x:v>
      </x:c>
      <x:c r="L11" s="28"/>
      <x:c r="M11" s="28"/>
      <x:c r="N11" s="28"/>
      <x:c r="O11" s="28"/>
      <x:c r="P11" s="28" t="n">
        <x:v>86.4</x:v>
      </x:c>
      <x:c r="Q11" s="28" t="n">
        <x:v>80.4</x:v>
      </x:c>
      <x:c r="R11" s="28" t="n">
        <x:v>90</x:v>
      </x:c>
      <x:c r="S11" s="18" t="str">
        <x:v>原值继承；无Float</x:v>
      </x:c>
    </x:row>
    <x:row r="12">
      <x:c r="A12" s="18" t="str">
        <x:v>钠离子</x:v>
      </x:c>
      <x:c r="B12" s="18" t="str">
        <x:v>48V</x:v>
      </x:c>
      <x:c r="C12" s="28" t="n">
        <x:v>30.6</x:v>
      </x:c>
      <x:c r="D12" s="28" t="n">
        <x:v>31.1</x:v>
      </x:c>
      <x:c r="E12" s="28" t="n">
        <x:v>34</x:v>
      </x:c>
      <x:c r="F12" s="28" t="n">
        <x:v>1</x:v>
      </x:c>
      <x:c r="G12" s="28" t="n">
        <x:v>3</x:v>
      </x:c>
      <x:c r="H12" s="28" t="n">
        <x:v>56.1</x:v>
      </x:c>
      <x:c r="I12" s="28" t="n">
        <x:v>55.9</x:v>
      </x:c>
      <x:c r="J12" s="28" t="n">
        <x:v>56.3</x:v>
      </x:c>
      <x:c r="K12" s="28" t="n">
        <x:v>0.3</x:v>
      </x:c>
      <x:c r="L12" s="28"/>
      <x:c r="M12" s="28"/>
      <x:c r="N12" s="28"/>
      <x:c r="O12" s="28"/>
      <x:c r="P12" s="28" t="n">
        <x:v>56.1</x:v>
      </x:c>
      <x:c r="Q12" s="28" t="n">
        <x:v>52.7</x:v>
      </x:c>
      <x:c r="R12" s="28" t="n">
        <x:v>58.65</x:v>
      </x:c>
      <x:c r="S12" s="18" t="str">
        <x:v>原值继承；无Float</x:v>
      </x:c>
    </x:row>
    <x:row r="13">
      <x:c r="A13" s="18" t="str">
        <x:v>钠离子</x:v>
      </x:c>
      <x:c r="B13" s="18" t="str">
        <x:v>60V</x:v>
      </x:c>
      <x:c r="C13" s="28" t="n">
        <x:v>39.6</x:v>
      </x:c>
      <x:c r="D13" s="28" t="n">
        <x:v>40.1</x:v>
      </x:c>
      <x:c r="E13" s="28" t="n">
        <x:v>44</x:v>
      </x:c>
      <x:c r="F13" s="28" t="n">
        <x:v>1</x:v>
      </x:c>
      <x:c r="G13" s="28" t="n">
        <x:v>3</x:v>
      </x:c>
      <x:c r="H13" s="28" t="n">
        <x:v>72.6</x:v>
      </x:c>
      <x:c r="I13" s="28" t="n">
        <x:v>72.4</x:v>
      </x:c>
      <x:c r="J13" s="28" t="n">
        <x:v>72.8</x:v>
      </x:c>
      <x:c r="K13" s="28" t="n">
        <x:v>0.3</x:v>
      </x:c>
      <x:c r="L13" s="28"/>
      <x:c r="M13" s="28"/>
      <x:c r="N13" s="28"/>
      <x:c r="O13" s="28"/>
      <x:c r="P13" s="28" t="n">
        <x:v>72.6</x:v>
      </x:c>
      <x:c r="Q13" s="28" t="n">
        <x:v>68.2</x:v>
      </x:c>
      <x:c r="R13" s="28" t="n">
        <x:v>75.9</x:v>
      </x:c>
      <x:c r="S13" s="18" t="str">
        <x:v>原值继承；无Float</x:v>
      </x:c>
    </x:row>
    <x:row r="14">
      <x:c r="A14" s="18" t="str">
        <x:v>钠离子</x:v>
      </x:c>
      <x:c r="B14" s="18" t="str">
        <x:v>72V</x:v>
      </x:c>
      <x:c r="C14" s="28" t="n">
        <x:v>46.8</x:v>
      </x:c>
      <x:c r="D14" s="28" t="n">
        <x:v>47.3</x:v>
      </x:c>
      <x:c r="E14" s="28" t="n">
        <x:v>52</x:v>
      </x:c>
      <x:c r="F14" s="28" t="n">
        <x:v>1</x:v>
      </x:c>
      <x:c r="G14" s="28" t="n">
        <x:v>3</x:v>
      </x:c>
      <x:c r="H14" s="28" t="n">
        <x:v>85.8</x:v>
      </x:c>
      <x:c r="I14" s="28" t="n">
        <x:v>85.6</x:v>
      </x:c>
      <x:c r="J14" s="28" t="n">
        <x:v>86</x:v>
      </x:c>
      <x:c r="K14" s="28" t="n">
        <x:v>0.3</x:v>
      </x:c>
      <x:c r="L14" s="28"/>
      <x:c r="M14" s="28"/>
      <x:c r="N14" s="28"/>
      <x:c r="O14" s="28"/>
      <x:c r="P14" s="28" t="n">
        <x:v>85.8</x:v>
      </x:c>
      <x:c r="Q14" s="28" t="n">
        <x:v>80.6</x:v>
      </x:c>
      <x:c r="R14" s="28" t="n">
        <x:v>89.7</x:v>
      </x:c>
      <x:c r="S14" s="18" t="str">
        <x:v>原值继承；无Float</x:v>
      </x:c>
    </x:row>
  </x:sheetData>
  <x:mergeCells>
    <x:mergeCell ref="A1:S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8" hidden="0" customWidth="1"/>
    <x:col min="4" max="4" width="16" hidden="0" customWidth="1"/>
    <x:col min="5" max="5" width="10" hidden="0" customWidth="1"/>
    <x:col min="6" max="6" width="16" hidden="0" customWidth="1"/>
    <x:col min="7" max="7" width="28" hidden="0" customWidth="1"/>
    <x:col min="8" max="8" width="42" hidden="0" customWidth="1"/>
  </x:cols>
  <x:sheetData>
    <x:row r="1">
      <x:c r="A1" s="5" t="str">
        <x:v>300W功率相关参数：继承结构、候选数值与台架门禁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项目</x:v>
      </x:c>
      <x:c r="B2" s="13" t="str">
        <x:v>输入/基础值</x:v>
      </x:c>
      <x:c r="C2" s="13" t="str">
        <x:v>公式/来源</x:v>
      </x:c>
      <x:c r="D2" s="13" t="str">
        <x:v>计算结果</x:v>
      </x:c>
      <x:c r="E2" s="13" t="str">
        <x:v>单位</x:v>
      </x:c>
      <x:c r="F2" s="13" t="str">
        <x:v>状态</x:v>
      </x:c>
      <x:c r="G2" s="13" t="str">
        <x:v>代码映射</x:v>
      </x:c>
      <x:c r="H2" s="13" t="str">
        <x:v>验收要求</x:v>
      </x:c>
    </x:row>
    <x:row r="3">
      <x:c r="A3" s="18" t="str">
        <x:v>额定PV功率</x:v>
      </x:c>
      <x:c r="B3" s="28" t="n">
        <x:v>300</x:v>
      </x:c>
      <x:c r="C3" s="28"/>
      <x:c r="D3" s="28" t="n">
        <x:v>300</x:v>
      </x:c>
      <x:c r="E3" s="18" t="str">
        <x:v>W</x:v>
      </x:c>
      <x:c r="F3" s="18" t="str">
        <x:v>默认BOM</x:v>
      </x:c>
      <x:c r="G3" s="18" t="str">
        <x:v>AURORA_RATED_POWER_MW</x:v>
      </x:c>
      <x:c r="H3" s="18" t="str">
        <x:v>台架低压→额定功率逐级验收</x:v>
      </x:c>
    </x:row>
    <x:row r="4">
      <x:c r="A4" s="18" t="str">
        <x:v>PV基础限流</x:v>
      </x:c>
      <x:c r="B4" s="28" t="n">
        <x:v>12</x:v>
      </x:c>
      <x:c r="C4" s="28"/>
      <x:c r="D4" s="28" t="n">
        <x:v>12</x:v>
      </x:c>
      <x:c r="E4" s="18" t="str">
        <x:v>A</x:v>
      </x:c>
      <x:c r="F4" s="18" t="str">
        <x:v>候选</x:v>
      </x:c>
      <x:c r="G4" s="18" t="str">
        <x:v>AURORA_PV_CURRENT_LIMIT_MA</x:v>
      </x:c>
      <x:c r="H4" s="18" t="str">
        <x:v>需电感/MOS/二极管/PCB/分流器/COMP共同确认</x:v>
      </x:c>
    </x:row>
    <x:row r="5">
      <x:c r="A5" s="18" t="str">
        <x:v>PV OCP Slow</x:v>
      </x:c>
      <x:c r="B5" s="28" t="n">
        <x:v>12</x:v>
      </x:c>
      <x:c r="C5" s="28" t="str">
        <x:v>基础限流 × 1.20</x:v>
      </x:c>
      <x:c r="D5" s="28" t="n">
        <x:f>B5*1.2</x:f>
        <x:v>14.399999999999999</x:v>
      </x:c>
      <x:c r="E5" s="18" t="str">
        <x:v>A / 10s</x:v>
      </x:c>
      <x:c r="F5" s="18" t="str">
        <x:v>候选结构</x:v>
      </x:c>
      <x:c r="G5" s="18" t="str">
        <x:v>1.20×基础限流</x:v>
      </x:c>
      <x:c r="H5" s="18" t="str">
        <x:v>需台架确认</x:v>
      </x:c>
    </x:row>
    <x:row r="6">
      <x:c r="A6" s="18" t="str">
        <x:v>PV OCP Medium</x:v>
      </x:c>
      <x:c r="B6" s="28" t="n">
        <x:v>12</x:v>
      </x:c>
      <x:c r="C6" s="28" t="str">
        <x:v>基础限流 × 1.35</x:v>
      </x:c>
      <x:c r="D6" s="28" t="n">
        <x:f>B6*1.35</x:f>
        <x:v>16.200000000000003</x:v>
      </x:c>
      <x:c r="E6" s="18" t="str">
        <x:v>A / 1s</x:v>
      </x:c>
      <x:c r="F6" s="18" t="str">
        <x:v>候选结构</x:v>
      </x:c>
      <x:c r="G6" s="18" t="str">
        <x:v>1.35×基础限流</x:v>
      </x:c>
      <x:c r="H6" s="18" t="str">
        <x:v>需台架确认</x:v>
      </x:c>
    </x:row>
    <x:row r="7">
      <x:c r="A7" s="18" t="str">
        <x:v>PV OCP Fast</x:v>
      </x:c>
      <x:c r="B7" s="28" t="n">
        <x:v>12</x:v>
      </x:c>
      <x:c r="C7" s="28" t="str">
        <x:v>基础限流 × 1.50</x:v>
      </x:c>
      <x:c r="D7" s="28" t="n">
        <x:f>B7*1.5</x:f>
        <x:v>18</x:v>
      </x:c>
      <x:c r="E7" s="18" t="str">
        <x:v>A / 100ms</x:v>
      </x:c>
      <x:c r="F7" s="18" t="str">
        <x:v>候选结构</x:v>
      </x:c>
      <x:c r="G7" s="18" t="str">
        <x:v>1.50×基础限流</x:v>
      </x:c>
      <x:c r="H7" s="18" t="str">
        <x:v>需台架确认</x:v>
      </x:c>
    </x:row>
    <x:row r="8">
      <x:c r="A8" s="18" t="str">
        <x:v>过功率</x:v>
      </x:c>
      <x:c r="B8" s="28" t="n">
        <x:v>300</x:v>
      </x:c>
      <x:c r="C8" s="28" t="str">
        <x:v>额定功率 × 1.20</x:v>
      </x:c>
      <x:c r="D8" s="28" t="n">
        <x:f>B8*1.2</x:f>
        <x:v>360</x:v>
      </x:c>
      <x:c r="E8" s="18" t="str">
        <x:v>W / 5s</x:v>
      </x:c>
      <x:c r="F8" s="18" t="str">
        <x:v>候选</x:v>
      </x:c>
      <x:c r="G8" s="18" t="str">
        <x:v>Rated×1.2</x:v>
      </x:c>
      <x:c r="H8" s="18" t="str">
        <x:v>需台架确认</x:v>
      </x:c>
    </x:row>
    <x:row r="9">
      <x:c r="A9" s="18" t="str">
        <x:v>MOS降额起点</x:v>
      </x:c>
      <x:c r="B9" s="28" t="n">
        <x:v>95</x:v>
      </x:c>
      <x:c r="C9" s="28"/>
      <x:c r="D9" s="28" t="n">
        <x:v>95</x:v>
      </x:c>
      <x:c r="E9" s="18" t="str">
        <x:v>°C</x:v>
      </x:c>
      <x:c r="F9" s="18" t="str">
        <x:v>用户确认</x:v>
      </x:c>
      <x:c r="G9" s="18" t="str">
        <x:v>AURORA_MOS_DERATE_TEMP_DC</x:v>
      </x:c>
      <x:c r="H9" s="18" t="str">
        <x:v>从95°C开始降额</x:v>
      </x:c>
    </x:row>
    <x:row r="10">
      <x:c r="A10" s="18" t="str">
        <x:v>MOS降额末端</x:v>
      </x:c>
      <x:c r="B10" s="28" t="n">
        <x:v>104</x:v>
      </x:c>
      <x:c r="C10" s="28"/>
      <x:c r="D10" s="28" t="n">
        <x:v>104</x:v>
      </x:c>
      <x:c r="E10" s="18" t="str">
        <x:v>°C</x:v>
      </x:c>
      <x:c r="F10" s="18" t="str">
        <x:v>候选结构</x:v>
      </x:c>
      <x:c r="G10" s="18" t="str">
        <x:v>AURORA_MOS_DERATE_END_TEMP_DC</x:v>
      </x:c>
      <x:c r="H10" s="18" t="str">
        <x:v>300W具体功率曲线待温升台架</x:v>
      </x:c>
    </x:row>
    <x:row r="11">
      <x:c r="A11" s="18" t="str">
        <x:v>MOS过温停机</x:v>
      </x:c>
      <x:c r="B11" s="28" t="n">
        <x:v>105</x:v>
      </x:c>
      <x:c r="C11" s="28"/>
      <x:c r="D11" s="28" t="n">
        <x:v>105</x:v>
      </x:c>
      <x:c r="E11" s="18" t="str">
        <x:v>°C / 1s</x:v>
      </x:c>
      <x:c r="F11" s="18" t="str">
        <x:v>继承</x:v>
      </x:c>
      <x:c r="G11" s="18" t="str">
        <x:v>AURORA_MOS_TRIP_TEMP_DC</x:v>
      </x:c>
      <x:c r="H11" s="18" t="str">
        <x:v>恢复95°C /1s</x:v>
      </x:c>
    </x:row>
    <x:row r="12">
      <x:c r="A12" s="18" t="str">
        <x:v>预充闭合压差</x:v>
      </x:c>
      <x:c r="B12" s="28" t="n">
        <x:v>1.5</x:v>
      </x:c>
      <x:c r="C12" s="28"/>
      <x:c r="D12" s="28" t="n">
        <x:v>1.5</x:v>
      </x:c>
      <x:c r="E12" s="18" t="str">
        <x:v>V / 1s</x:v>
      </x:c>
      <x:c r="F12" s="18" t="str">
        <x:v>硬约束</x:v>
      </x:c>
      <x:c r="G12" s="18" t="str">
        <x:v>AURORA_RELAY_CLOSE_DELTA_MV</x:v>
      </x:c>
      <x:c r="H12" s="18" t="str">
        <x:v>BST_U必须先充到接近BAT_U</x:v>
      </x:c>
    </x:row>
    <x:row r="13">
      <x:c r="A13" s="18" t="str">
        <x:v>继电器复核压差</x:v>
      </x:c>
      <x:c r="B13" s="28" t="n">
        <x:v>2.5</x:v>
      </x:c>
      <x:c r="C13" s="28"/>
      <x:c r="D13" s="28" t="n">
        <x:v>2.5</x:v>
      </x:c>
      <x:c r="E13" s="18" t="str">
        <x:v>V</x:v>
      </x:c>
      <x:c r="F13" s="18" t="str">
        <x:v>候选安全值</x:v>
      </x:c>
      <x:c r="G13" s="18" t="str">
        <x:v>AURORA_RELAY_VERIFY_DELTA_MV</x:v>
      </x:c>
      <x:c r="H13" s="18" t="str">
        <x:v>吸合100ms后再复核</x:v>
      </x:c>
    </x:row>
    <x:row r="14">
      <x:c r="A14" s="18" t="str">
        <x:v>电池稳定窗口</x:v>
      </x:c>
      <x:c r="B14" s="28" t="n">
        <x:v>10</x:v>
      </x:c>
      <x:c r="C14" s="28"/>
      <x:c r="D14" s="28" t="n">
        <x:v>10</x:v>
      </x:c>
      <x:c r="E14" s="18" t="str">
        <x:v>s</x:v>
      </x:c>
      <x:c r="F14" s="18" t="str">
        <x:v>继承</x:v>
      </x:c>
      <x:c r="G14" s="18" t="str">
        <x:v>AURORA_BAT_STABILITY_WINDOW_MS</x:v>
      </x:c>
      <x:c r="H14" s="18" t="str">
        <x:v>窗口max-min &lt;=2V才能RUN</x:v>
      </x:c>
    </x:row>
    <x:row r="15">
      <x:c r="A15" s="32" t="str">
        <x:v>注意：300W的12A基础限流、360W过功率及95~104°C降额功率曲线仍需实板验证；不能仅因Host测试通过而视为冻结参数。</x:v>
      </x:c>
      <x:c r="B15" s="36"/>
      <x:c r="C15" s="36"/>
      <x:c r="D15" s="36"/>
      <x:c r="E15" s="32"/>
      <x:c r="F15" s="32"/>
      <x:c r="G15" s="32"/>
      <x:c r="H15" s="32"/>
    </x:row>
  </x:sheetData>
  <x:mergeCells>
    <x:mergeCell ref="A1:H1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6" hidden="0" customWidth="1"/>
    <x:col min="4" max="4" width="12" hidden="0" customWidth="1"/>
    <x:col min="5" max="5" width="16" hidden="0" customWidth="1"/>
    <x:col min="6" max="6" width="44" hidden="0" customWidth="1"/>
  </x:cols>
  <x:sheetData>
    <x:row r="1">
      <x:c r="A1" s="5" t="str">
        <x:v>120W成熟行为 → 300W新硬件迁移矩阵</x:v>
      </x:c>
      <x:c r="B1" s="5"/>
      <x:c r="C1" s="5"/>
      <x:c r="D1" s="5"/>
      <x:c r="E1" s="5"/>
      <x:c r="F1" s="5"/>
    </x:row>
    <x:row r="2">
      <x:c r="A2" s="13" t="str">
        <x:v>120W功能</x:v>
      </x:c>
      <x:c r="B2" s="13" t="str">
        <x:v>120W实现/行为</x:v>
      </x:c>
      <x:c r="C2" s="13" t="str">
        <x:v>300W v0.8.0实现</x:v>
      </x:c>
      <x:c r="D2" s="13" t="str">
        <x:v>分类</x:v>
      </x:c>
      <x:c r="E2" s="13" t="str">
        <x:v>当前状态</x:v>
      </x:c>
      <x:c r="F2" s="13" t="str">
        <x:v>风险/说明</x:v>
      </x:c>
    </x:row>
    <x:row r="3">
      <x:c r="A3" s="18" t="str">
        <x:v>TC/CC/CV/Float</x:v>
      </x:c>
      <x:c r="B3" s="18" t="str">
        <x:v>BAT_U + 真实BAT_I</x:v>
      </x:c>
      <x:c r="C3" s="18" t="str">
        <x:v>BAT_U + BAT_I_EST</x:v>
      </x:c>
      <x:c r="D3" s="18" t="str">
        <x:v>C 新硬件替代</x:v>
      </x:c>
      <x:c r="E3" s="18" t="str">
        <x:v>已实现</x:v>
      </x:c>
      <x:c r="F3" s="18" t="str">
        <x:v>估算电流必须标记ESTIMATED</x:v>
      </x:c>
    </x:row>
    <x:row r="4">
      <x:c r="A4" s="18" t="str">
        <x:v>铅酸CV/Float</x:v>
      </x:c>
      <x:c r="B4" s="18" t="str">
        <x:v>58/72.5/87V；54.6/68.3/82V</x:v>
      </x:c>
      <x:c r="C4" s="18" t="str">
        <x:v>同值</x:v>
      </x:c>
      <x:c r="D4" s="18" t="str">
        <x:v>A 原样继承</x:v>
      </x:c>
      <x:c r="E4" s="18" t="str">
        <x:v>已修正</x:v>
      </x:c>
      <x:c r="F4" s="18" t="str">
        <x:v>不能再把CV/Float最大值当目标值</x:v>
      </x:c>
    </x:row>
    <x:row r="5">
      <x:c r="A5" s="18" t="str">
        <x:v>BAT多级OV</x:v>
      </x:c>
      <x:c r="B5" s="18" t="str">
        <x:v>软件多级 + 旧硬件CMP</x:v>
      </x:c>
      <x:c r="C5" s="18" t="str">
        <x:v>软件多级ADC；无旧BAT CMP</x:v>
      </x:c>
      <x:c r="D5" s="18" t="str">
        <x:v>C 新硬件替代</x:v>
      </x:c>
      <x:c r="E5" s="18" t="str">
        <x:v>部分等价</x:v>
      </x:c>
      <x:c r="F5" s="18" t="str">
        <x:v>硬件BAT_OV能力差异必须保留风险</x:v>
      </x:c>
    </x:row>
    <x:row r="6">
      <x:c r="A6" s="18" t="str">
        <x:v>PV OCP</x:v>
      </x:c>
      <x:c r="B6" s="18" t="str">
        <x:v>8A基础 + 分级 + CMP</x:v>
      </x:c>
      <x:c r="C6" s="18" t="str">
        <x:v>12A候选基础 + 同比例/时间 + COMP</x:v>
      </x:c>
      <x:c r="D6" s="18" t="str">
        <x:v>B 参数重算</x:v>
      </x:c>
      <x:c r="E6" s="18" t="str">
        <x:v>结构已实现</x:v>
      </x:c>
      <x:c r="F6" s="18" t="str">
        <x:v>300W阈值待台架</x:v>
      </x:c>
    </x:row>
    <x:row r="7">
      <x:c r="A7" s="18" t="str">
        <x:v>同步MOS</x:v>
      </x:c>
      <x:c r="B7" s="18" t="str">
        <x:v>同步/异步Boost</x:v>
      </x:c>
      <x:c r="C7" s="18" t="str">
        <x:v>单路异步Boost</x:v>
      </x:c>
      <x:c r="D7" s="18" t="str">
        <x:v>D 删除</x:v>
      </x:c>
      <x:c r="E7" s="18" t="str">
        <x:v>删除</x:v>
      </x:c>
      <x:c r="F7" s="18" t="str">
        <x:v>不允许重新引入Q9/Q11/互补PWM</x:v>
      </x:c>
    </x:row>
    <x:row r="8">
      <x:c r="A8" s="18" t="str">
        <x:v>闭源MPPT库</x:v>
      </x:c>
      <x:c r="B8" s="18" t="str">
        <x:v>HT32闭源库</x:v>
      </x:c>
      <x:c r="C8" s="18" t="str">
        <x:v>自研P-V参考电压搜索</x:v>
      </x:c>
      <x:c r="D8" s="18" t="str">
        <x:v>D/C</x:v>
      </x:c>
      <x:c r="E8" s="18" t="str">
        <x:v>已替换</x:v>
      </x:c>
      <x:c r="F8" s="18" t="str">
        <x:v>旧库不进入仓库</x:v>
      </x:c>
    </x:row>
    <x:row r="9">
      <x:c r="A9" s="18" t="str">
        <x:v>启动延时</x:v>
      </x:c>
      <x:c r="B9" s="18" t="str">
        <x:v>1~10s + 13~15V 15s</x:v>
      </x:c>
      <x:c r="C9" s="18" t="str">
        <x:v>Power Stage状态机</x:v>
      </x:c>
      <x:c r="D9" s="18" t="str">
        <x:v>A</x:v>
      </x:c>
      <x:c r="E9" s="18" t="str">
        <x:v>已实现</x:v>
      </x:c>
      <x:c r="F9" s="18" t="str">
        <x:v>失败退避，成功80mA估算电流1s后减小</x:v>
      </x:c>
    </x:row>
    <x:row r="10">
      <x:c r="A10" s="18" t="str">
        <x:v>PV_I零点</x:v>
      </x:c>
      <x:c r="B10" s="18" t="str">
        <x:v>上电条件后校准</x:v>
      </x:c>
      <x:c r="C10" s="18" t="str">
        <x:v>32个完整DMA块运行时校准</x:v>
      </x:c>
      <x:c r="D10" s="18" t="str">
        <x:v>C</x:v>
      </x:c>
      <x:c r="E10" s="18" t="str">
        <x:v>已实现</x:v>
      </x:c>
      <x:c r="F10" s="18" t="str">
        <x:v>PWM/继电器关闭时执行</x:v>
      </x:c>
    </x:row>
    <x:row r="11">
      <x:c r="A11" s="18" t="str">
        <x:v>继电器</x:v>
      </x:c>
      <x:c r="B11" s="18" t="str">
        <x:v>先建立电压后连接</x:v>
      </x:c>
      <x:c r="C11" s="18" t="str">
        <x:v>Boost先充BST_U→压差稳定→关PWM→Relay ON</x:v>
      </x:c>
      <x:c r="D11" s="18" t="str">
        <x:v>C</x:v>
      </x:c>
      <x:c r="E11" s="18" t="str">
        <x:v>硬约束已实现</x:v>
      </x:c>
      <x:c r="F11" s="18" t="str">
        <x:v>任何反向顺序视为安全回归</x:v>
      </x:c>
    </x:row>
    <x:row r="12">
      <x:c r="A12" s="18" t="str">
        <x:v>BAT稳定</x:v>
      </x:c>
      <x:c r="B12" s="18" t="str">
        <x:v>10s波动&lt;=2V</x:v>
      </x:c>
      <x:c r="C12" s="18" t="str">
        <x:v>Relay后PWM OFF观察10s</x:v>
      </x:c>
      <x:c r="D12" s="18" t="str">
        <x:v>A</x:v>
      </x:c>
      <x:c r="E12" s="18" t="str">
        <x:v>已实现</x:v>
      </x:c>
      <x:c r="F12" s="18" t="str">
        <x:v>通过后才RUN</x:v>
      </x:c>
    </x:row>
    <x:row r="13">
      <x:c r="A13" s="18" t="str">
        <x:v>30min关机</x:v>
      </x:c>
      <x:c r="B13" s="18" t="str">
        <x:v>真正无PV且MPPT未运行</x:v>
      </x:c>
      <x:c r="C13" s="18" t="str">
        <x:v>PV&lt;13V且MPPT无效</x:v>
      </x:c>
      <x:c r="D13" s="18" t="str">
        <x:v>A</x:v>
      </x:c>
      <x:c r="E13" s="18" t="str">
        <x:v>已实现</x:v>
      </x:c>
      <x:c r="F13" s="18" t="str">
        <x:v>电池满充不算无太阳</x:v>
      </x:c>
    </x:row>
    <x:row r="14">
      <x:c r="A14" s="18" t="str">
        <x:v>CMP启动瞬态</x:v>
      </x:c>
      <x:c r="B14" s="18" t="str">
        <x:v>PWM未输出不报OCP</x:v>
      </x:c>
      <x:c r="C14" s="18" t="str">
        <x:v>硬关断保留；软件仅诊断</x:v>
      </x:c>
      <x:c r="D14" s="18" t="str">
        <x:v>C</x:v>
      </x:c>
      <x:c r="E14" s="18" t="str">
        <x:v>已实现</x:v>
      </x:c>
      <x:c r="F14" s="18" t="str">
        <x:v>运行后必须锁存并重新完整启动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5" hidden="0" customWidth="1"/>
    <x:col min="4" max="4" width="44" hidden="0" customWidth="1"/>
    <x:col min="5" max="5" width="42" hidden="0" customWidth="1"/>
    <x:col min="6" max="6" width="18" hidden="0" customWidth="1"/>
  </x:cols>
  <x:sheetData>
    <x:row r="1">
      <x:c r="A1" s="5" t="str">
        <x:v>v0.8.0 仍需确认的300W参数与台架项目</x:v>
      </x:c>
      <x:c r="B1" s="5"/>
      <x:c r="C1" s="5"/>
      <x:c r="D1" s="5"/>
      <x:c r="E1" s="5"/>
      <x:c r="F1" s="5"/>
    </x:row>
    <x:row r="2">
      <x:c r="A2" s="13" t="str">
        <x:v>优先级</x:v>
      </x:c>
      <x:c r="B2" s="13" t="str">
        <x:v>待确认/台架项</x:v>
      </x:c>
      <x:c r="C2" s="13" t="str">
        <x:v>当前候选</x:v>
      </x:c>
      <x:c r="D2" s="13" t="str">
        <x:v>为什么不能直接继承120W</x:v>
      </x:c>
      <x:c r="E2" s="13" t="str">
        <x:v>完成证据</x:v>
      </x:c>
      <x:c r="F2" s="13" t="str">
        <x:v>功率门禁影响</x:v>
      </x:c>
    </x:row>
    <x:row r="3">
      <x:c r="A3" s="18" t="str">
        <x:v>P0</x:v>
      </x:c>
      <x:c r="B3" s="18" t="str">
        <x:v>300W PV基础限流</x:v>
      </x:c>
      <x:c r="C3" s="18" t="str">
        <x:v>12 A</x:v>
      </x:c>
      <x:c r="D3" s="18" t="str">
        <x:v>功率提升不等于允许电流按比例提升</x:v>
      </x:c>
      <x:c r="E3" s="18" t="str">
        <x:v>电感/MOS/二极管/PCB/SOA/波形台架</x:v>
      </x:c>
      <x:c r="F3" s="18" t="str">
        <x:v>未完成→总门保持0</x:v>
      </x:c>
    </x:row>
    <x:row r="4">
      <x:c r="A4" s="18" t="str">
        <x:v>P0</x:v>
      </x:c>
      <x:c r="B4" s="18" t="str">
        <x:v>COMP0/COMP2极性与Break链</x:v>
      </x:c>
      <x:c r="C4" s="18" t="str">
        <x:v>按当前原理图/DDL</x:v>
      </x:c>
      <x:c r="D4" s="18" t="str">
        <x:v>必须实测故障到GLC/Vgs关闭时间</x:v>
      </x:c>
      <x:c r="E4" s="18" t="str">
        <x:v>示波器强制故障测试</x:v>
      </x:c>
      <x:c r="F4" s="18" t="str">
        <x:v>未完成→总门保持0</x:v>
      </x:c>
    </x:row>
    <x:row r="5">
      <x:c r="A5" s="18" t="str">
        <x:v>P0</x:v>
      </x:c>
      <x:c r="B5" s="18" t="str">
        <x:v>ADC比例/OPA零点/PV_I方向</x:v>
      </x:c>
      <x:c r="C5" s="18" t="str">
        <x:v>当前理论比例+运行时zero</x:v>
      </x:c>
      <x:c r="D5" s="18" t="str">
        <x:v>模拟链路容差与极性需实板校准</x:v>
      </x:c>
      <x:c r="E5" s="18" t="str">
        <x:v>电压源/电流源校准记录</x:v>
      </x:c>
      <x:c r="F5" s="18" t="str">
        <x:v>未完成→总门保持0</x:v>
      </x:c>
    </x:row>
    <x:row r="6">
      <x:c r="A6" s="18" t="str">
        <x:v>P0</x:v>
      </x:c>
      <x:c r="B6" s="18" t="str">
        <x:v>继电器压差闭合波形</x:v>
      </x:c>
      <x:c r="C6" s="18" t="str">
        <x:v>1.5V/1s，复核2.5V</x:v>
      </x:c>
      <x:c r="D6" s="18" t="str">
        <x:v>机械继电器和母线纹波需实测</x:v>
      </x:c>
      <x:c r="E6" s="18" t="str">
        <x:v>BST_U/BAT_U/Relay/GLC四通道波形</x:v>
      </x:c>
      <x:c r="F6" s="18" t="str">
        <x:v>未完成→总门保持0</x:v>
      </x:c>
    </x:row>
    <x:row r="7">
      <x:c r="A7" s="18" t="str">
        <x:v>P1</x:v>
      </x:c>
      <x:c r="B7" s="18" t="str">
        <x:v>300W过功率故障</x:v>
      </x:c>
      <x:c r="C7" s="18" t="str">
        <x:v>360W/5s</x:v>
      </x:c>
      <x:c r="D7" s="18" t="str">
        <x:v>1.2×只是继承策略，不是已验证额定安全边界</x:v>
      </x:c>
      <x:c r="E7" s="18" t="str">
        <x:v>功率台架验证</x:v>
      </x:c>
      <x:c r="F7" s="18" t="str">
        <x:v>候选</x:v>
      </x:c>
    </x:row>
    <x:row r="8">
      <x:c r="A8" s="18" t="str">
        <x:v>P1</x:v>
      </x:c>
      <x:c r="B8" s="18" t="str">
        <x:v>95~104°C降额功率曲线</x:v>
      </x:c>
      <x:c r="C8" s="18" t="str">
        <x:v>线性降到9W候选</x:v>
      </x:c>
      <x:c r="D8" s="18" t="str">
        <x:v>120W的绝对W值不能直接套300W</x:v>
      </x:c>
      <x:c r="E8" s="18" t="str">
        <x:v>热箱/满载温升/SOA记录</x:v>
      </x:c>
      <x:c r="F8" s="18" t="str">
        <x:v>候选</x:v>
      </x:c>
    </x:row>
    <x:row r="9">
      <x:c r="A9" s="18" t="str">
        <x:v>P1</x:v>
      </x:c>
      <x:c r="B9" s="18" t="str">
        <x:v>BAT快速OV恢复规则</x:v>
      </x:c>
      <x:c r="C9" s="18" t="str">
        <x:v>回到CV上限以下2.5s</x:v>
      </x:c>
      <x:c r="D9" s="18" t="str">
        <x:v>V2.7恢复栏存在跨平台歧义</x:v>
      </x:c>
      <x:c r="E9" s="18" t="str">
        <x:v>产品规则确认+测试</x:v>
      </x:c>
      <x:c r="F9" s="18" t="str">
        <x:v>软件可保守运行</x:v>
      </x:c>
    </x:row>
    <x:row r="10">
      <x:c r="A10" s="18" t="str">
        <x:v>P1</x:v>
      </x:c>
      <x:c r="B10" s="18" t="str">
        <x:v>CC BAT_I_EST PI增益</x:v>
      </x:c>
      <x:c r="C10" s="18" t="str">
        <x:v>Kp/Ki候选</x:v>
      </x:c>
      <x:c r="D10" s="18" t="str">
        <x:v>无真实BAT_I，估算误差受效率影响</x:v>
      </x:c>
      <x:c r="E10" s="18" t="str">
        <x:v>电子负载/不同电池档位阶跃</x:v>
      </x:c>
      <x:c r="F10" s="18" t="str">
        <x:v>候选</x:v>
      </x:c>
    </x:row>
    <x:row r="11">
      <x:c r="A11" s="18" t="str">
        <x:v>P1</x:v>
      </x:c>
      <x:c r="B11" s="18" t="str">
        <x:v>Keil AC6优化等级</x:v>
      </x:c>
      <x:c r="C11" s="18" t="str">
        <x:v>当前工程设置待冻结</x:v>
      </x:c>
      <x:c r="D11" s="18" t="str">
        <x:v>编译修复曾改变Optim字段</x:v>
      </x:c>
      <x:c r="E11" s="18" t="str">
        <x:v>真实armclang命令行 + MAP + ISR时序</x:v>
      </x:c>
      <x:c r="F11" s="18" t="str">
        <x:v>未冻结</x:v>
      </x:c>
    </x:row>
  </x:sheetData>
  <x:mergeCells>
    <x:mergeCell ref="A1:F1"/>
  </x:mergeCells>
  <x:conditionalFormatting sqref="A3:A11">
    <x:cfRule type="expression" dxfId="0" priority="1">
      <x:formula>A3="P0"</x:formula>
    </x:cfRule>
    <x:cfRule type="expression" dxfId="1" priority="2">
      <x:formula>A3="P1"</x:formula>
    </x:cfRule>
  </x:conditionalFormatting>
  <x:pageMargins left="0.7" right="0.7" top="0.75" bottom="0.75" header="0.3" footer="0.3"/>
</x:worksheet>
</file>